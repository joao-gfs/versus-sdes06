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<sst xmlns="http://schemas.openxmlformats.org/spreadsheetml/2006/main" count="78" uniqueCount="57">
  <si>
    <t>Estimativa Definitiva de Tamanho e Esforço</t>
  </si>
  <si>
    <t>Fator</t>
  </si>
  <si>
    <t>Valor</t>
  </si>
  <si>
    <t>Produtividade da equipe</t>
  </si>
  <si>
    <t>Fatores Ambientais</t>
  </si>
  <si>
    <t>Fatores Técnicos</t>
  </si>
  <si>
    <t>Ator</t>
  </si>
  <si>
    <t>Classificação</t>
  </si>
  <si>
    <t>Peso</t>
  </si>
  <si>
    <t>Atores</t>
  </si>
  <si>
    <t>Administrador do Sistema (ADM)</t>
  </si>
  <si>
    <t>Complexo (Interface Gráfica)</t>
  </si>
  <si>
    <t>Complexidade</t>
  </si>
  <si>
    <t>Organizador do Torneio (ORG)</t>
  </si>
  <si>
    <t>Simples</t>
  </si>
  <si>
    <t>Técnico/Clube (TEC)</t>
  </si>
  <si>
    <t>Médio</t>
  </si>
  <si>
    <t>Total</t>
  </si>
  <si>
    <t>Complexo</t>
  </si>
  <si>
    <t>Complexidade do RF</t>
  </si>
  <si>
    <t xml:space="preserve">Peso </t>
  </si>
  <si>
    <t>Quantidade de UC</t>
  </si>
  <si>
    <t>Peso Total UC</t>
  </si>
  <si>
    <t>Requisito</t>
  </si>
  <si>
    <t>Nro Entidades</t>
  </si>
  <si>
    <t>RFC01 - Autenticar e autorizar usuários</t>
  </si>
  <si>
    <t>RFC02 - Manter organizações</t>
  </si>
  <si>
    <t>RFC03 - Manter torneios</t>
  </si>
  <si>
    <t>RFC04 - Manter equipes</t>
  </si>
  <si>
    <t>RFC05 - Manter atletas</t>
  </si>
  <si>
    <t>RFC06 - Sortear chaveamento</t>
  </si>
  <si>
    <t>Cálculo Final do Tamanho</t>
  </si>
  <si>
    <t>UCP</t>
  </si>
  <si>
    <t>Esforço Global</t>
  </si>
  <si>
    <t>horas</t>
  </si>
  <si>
    <t>Fase</t>
  </si>
  <si>
    <t>Trabalho Estimado (horas)</t>
  </si>
  <si>
    <t>Prospecção</t>
  </si>
  <si>
    <t>5%</t>
  </si>
  <si>
    <t>Análise</t>
  </si>
  <si>
    <t>15%</t>
  </si>
  <si>
    <t>Planejamento</t>
  </si>
  <si>
    <t>10%</t>
  </si>
  <si>
    <t>Implementação RFC01</t>
  </si>
  <si>
    <t>50%</t>
  </si>
  <si>
    <t>Implementação RFC02</t>
  </si>
  <si>
    <t>Implementação RFC03</t>
  </si>
  <si>
    <t>Implementação RFC04</t>
  </si>
  <si>
    <t>Implementação RFC05</t>
  </si>
  <si>
    <t>Implementação RFC06</t>
  </si>
  <si>
    <t>Teste RFC01</t>
  </si>
  <si>
    <t>Teste RFC02</t>
  </si>
  <si>
    <t>Teste RFC03</t>
  </si>
  <si>
    <t>Teste RFC04</t>
  </si>
  <si>
    <t>Teste RFC05</t>
  </si>
  <si>
    <t>Teste RFC06</t>
  </si>
  <si>
    <t>Fechamento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</si>
</sst>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2.0"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/>
    <font>
      <b/>
      <color theme="1"/>
      <name val="Roboto"/>
    </font>
    <font>
      <color theme="1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3" fillId="0" fontId="5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3" fontId="7" numFmtId="0" xfId="0" applyAlignment="1" applyFill="1" applyFont="1">
      <alignment horizontal="center" readingOrder="0" shrinkToFit="0" wrapText="1"/>
    </xf>
    <xf borderId="0" fillId="4" fontId="7" numFmtId="0" xfId="0" applyFill="1" applyFont="1"/>
    <xf borderId="0" fillId="4" fontId="7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5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ágina1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Página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6" displayName="Fatores" name="Fatores" id="1">
  <tableColumns count="2">
    <tableColumn name="Fator" id="1"/>
    <tableColumn name="Valor" id="2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totalsRowCount="1" ref="A8:C12" displayName="Atores" name="Atores" id="2">
  <tableColumns count="3">
    <tableColumn name="Ator" id="1"/>
    <tableColumn totalsRowLabel="Total" name="Classificação" id="2"/>
    <tableColumn totalsRowFunction="custom" name="Peso" id="3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ref="A14:C18" displayName="Complexidade_RF" name="Complexidade_RF" id="3">
  <tableColumns count="3">
    <tableColumn name="Complexidade do RF" id="1"/>
    <tableColumn name="Peso " id="2"/>
    <tableColumn name="Quantidade de UC" id="3"/>
  </tableColumns>
  <tableStyleInfo name="Página1-style 3" showColumnStripes="0" showFirstColumn="1" showLastColumn="1" showRowStripes="1"/>
</table>
</file>

<file path=xl/tables/table4.xml><?xml version="1.0" encoding="utf-8"?>
<table xmlns="http://schemas.openxmlformats.org/spreadsheetml/2006/main" ref="A20:C26" displayName="Requisitos" name="Requisitos" id="4">
  <tableColumns count="3">
    <tableColumn name="Requisito" id="1"/>
    <tableColumn name="Nro Entidades" id="2"/>
    <tableColumn name="Complexidade" id="3"/>
  </tableColumns>
  <tableStyleInfo name="Página1-style 4" showColumnStripes="0" showFirstColumn="1" showLastColumn="1" showRowStripes="1"/>
</table>
</file>

<file path=xl/tables/table5.xml><?xml version="1.0" encoding="utf-8"?>
<table xmlns="http://schemas.openxmlformats.org/spreadsheetml/2006/main" ref="A31:C48" displayName="Fases_Ciclo_de_Vida" name="Fases_Ciclo_de_Vida" id="5">
  <tableColumns count="3">
    <tableColumn name="Fase" id="1"/>
    <tableColumn name="Esforço Global" id="2"/>
    <tableColumn name="Trabalho Estimado (horas)" id="3"/>
  </tableColumns>
  <tableStyleInfo name="Página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2.13"/>
    <col customWidth="1" min="3" max="3" width="20.0"/>
  </cols>
  <sheetData>
    <row r="1">
      <c r="A1" s="1" t="s">
        <v>0</v>
      </c>
    </row>
    <row r="3" ht="22.5" customHeight="1">
      <c r="A3" s="2" t="s">
        <v>1</v>
      </c>
      <c r="B3" s="2" t="s">
        <v>2</v>
      </c>
    </row>
    <row r="4" ht="22.5" customHeight="1">
      <c r="A4" s="3" t="s">
        <v>3</v>
      </c>
      <c r="B4" s="2">
        <v>10.0</v>
      </c>
    </row>
    <row r="5" ht="22.5" customHeight="1">
      <c r="A5" s="3" t="s">
        <v>4</v>
      </c>
      <c r="B5" s="2">
        <v>0.9</v>
      </c>
    </row>
    <row r="6" ht="22.5" customHeight="1">
      <c r="A6" s="3" t="s">
        <v>5</v>
      </c>
      <c r="B6" s="2">
        <v>1.3</v>
      </c>
    </row>
    <row r="8" ht="22.5" customHeight="1">
      <c r="A8" s="2" t="s">
        <v>6</v>
      </c>
      <c r="B8" s="2" t="s">
        <v>7</v>
      </c>
      <c r="C8" s="2" t="s">
        <v>8</v>
      </c>
      <c r="E8" s="4" t="s">
        <v>9</v>
      </c>
      <c r="F8" s="5"/>
    </row>
    <row r="9" ht="22.5" customHeight="1">
      <c r="A9" s="6" t="s">
        <v>10</v>
      </c>
      <c r="B9" s="6" t="s">
        <v>11</v>
      </c>
      <c r="C9" s="6">
        <v>3.0</v>
      </c>
      <c r="E9" s="7" t="s">
        <v>12</v>
      </c>
      <c r="F9" s="7" t="s">
        <v>8</v>
      </c>
    </row>
    <row r="10" ht="22.5" customHeight="1">
      <c r="A10" s="6" t="s">
        <v>13</v>
      </c>
      <c r="B10" s="6" t="s">
        <v>11</v>
      </c>
      <c r="C10" s="6">
        <v>3.0</v>
      </c>
      <c r="E10" s="8" t="s">
        <v>14</v>
      </c>
      <c r="F10" s="8">
        <v>1.0</v>
      </c>
    </row>
    <row r="11" ht="22.5" customHeight="1">
      <c r="A11" s="6" t="s">
        <v>15</v>
      </c>
      <c r="B11" s="6" t="s">
        <v>11</v>
      </c>
      <c r="C11" s="6">
        <v>3.0</v>
      </c>
      <c r="E11" s="8" t="s">
        <v>16</v>
      </c>
      <c r="F11" s="8">
        <v>2.0</v>
      </c>
    </row>
    <row r="12" ht="22.5" customHeight="1">
      <c r="A12" s="9"/>
      <c r="B12" s="2" t="s">
        <v>17</v>
      </c>
      <c r="C12" s="9">
        <f>SUM(C9:C11)</f>
        <v>9</v>
      </c>
      <c r="E12" s="8" t="s">
        <v>18</v>
      </c>
      <c r="F12" s="8">
        <v>3.0</v>
      </c>
    </row>
    <row r="14" ht="22.5" customHeight="1">
      <c r="A14" s="2" t="s">
        <v>19</v>
      </c>
      <c r="B14" s="2" t="s">
        <v>20</v>
      </c>
      <c r="C14" s="2" t="s">
        <v>21</v>
      </c>
    </row>
    <row r="15" ht="22.5" customHeight="1">
      <c r="A15" s="2" t="s">
        <v>14</v>
      </c>
      <c r="B15" s="2">
        <v>1.0</v>
      </c>
      <c r="C15" s="2">
        <f>COUNTIF(Requisitos[Complexidade], "Simples")</f>
        <v>1</v>
      </c>
    </row>
    <row r="16" ht="22.5" customHeight="1">
      <c r="A16" s="2" t="s">
        <v>16</v>
      </c>
      <c r="B16" s="2">
        <v>2.0</v>
      </c>
      <c r="C16" s="10">
        <f>COUNTIF(Requisitos[Complexidade], "Médio")</f>
        <v>1</v>
      </c>
    </row>
    <row r="17" ht="22.5" customHeight="1">
      <c r="A17" s="2" t="s">
        <v>18</v>
      </c>
      <c r="B17" s="2">
        <v>3.0</v>
      </c>
      <c r="C17" s="10">
        <f>COUNTIF(Requisitos[Complexidade], "Complexo")</f>
        <v>4</v>
      </c>
    </row>
    <row r="18" ht="22.5" customHeight="1">
      <c r="A18" s="11"/>
      <c r="B18" s="2" t="s">
        <v>22</v>
      </c>
      <c r="C18" s="10">
        <f>(C15*B15)+(C16*B16)+(C17*B17)</f>
        <v>15</v>
      </c>
    </row>
    <row r="19">
      <c r="A19" s="12"/>
      <c r="B19" s="12"/>
      <c r="C19" s="12"/>
    </row>
    <row r="20" ht="22.5" customHeight="1">
      <c r="A20" s="13" t="s">
        <v>23</v>
      </c>
      <c r="B20" s="13" t="s">
        <v>24</v>
      </c>
      <c r="C20" s="13" t="s">
        <v>12</v>
      </c>
    </row>
    <row r="21" ht="22.5" customHeight="1">
      <c r="A21" s="14" t="s">
        <v>25</v>
      </c>
      <c r="B21" s="15">
        <v>1.0</v>
      </c>
      <c r="C21" s="16" t="str">
        <f t="shared" ref="C21:C26" si="1">IF(B21 &lt;= 1, "Simples", IF(B21 = 2, "Médio", "Complexo"))</f>
        <v>Simples</v>
      </c>
    </row>
    <row r="22" ht="22.5" customHeight="1">
      <c r="A22" s="17" t="s">
        <v>26</v>
      </c>
      <c r="B22" s="15">
        <v>2.0</v>
      </c>
      <c r="C22" s="18" t="str">
        <f t="shared" si="1"/>
        <v>Médio</v>
      </c>
    </row>
    <row r="23" ht="22.5" customHeight="1">
      <c r="A23" s="14" t="s">
        <v>27</v>
      </c>
      <c r="B23" s="19">
        <v>3.0</v>
      </c>
      <c r="C23" s="19" t="str">
        <f t="shared" si="1"/>
        <v>Complexo</v>
      </c>
    </row>
    <row r="24" ht="22.5" customHeight="1">
      <c r="A24" s="14" t="s">
        <v>28</v>
      </c>
      <c r="B24" s="19">
        <v>3.0</v>
      </c>
      <c r="C24" s="19" t="str">
        <f t="shared" si="1"/>
        <v>Complexo</v>
      </c>
    </row>
    <row r="25" ht="22.5" customHeight="1">
      <c r="A25" s="14" t="s">
        <v>29</v>
      </c>
      <c r="B25" s="15">
        <v>3.0</v>
      </c>
      <c r="C25" s="19" t="str">
        <f t="shared" si="1"/>
        <v>Complexo</v>
      </c>
    </row>
    <row r="26" ht="22.5" customHeight="1">
      <c r="A26" s="14" t="s">
        <v>30</v>
      </c>
      <c r="B26" s="19">
        <v>3.0</v>
      </c>
      <c r="C26" s="19" t="str">
        <f t="shared" si="1"/>
        <v>Complexo</v>
      </c>
    </row>
    <row r="27">
      <c r="A27" s="20"/>
      <c r="B27" s="21"/>
      <c r="C27" s="20"/>
    </row>
    <row r="28">
      <c r="A28" s="22" t="s">
        <v>31</v>
      </c>
      <c r="B28" s="21">
        <f>(Atores[[#TOTALS],[Peso]]+C18)*B5*B6</f>
        <v>28.08</v>
      </c>
      <c r="C28" s="21" t="s">
        <v>32</v>
      </c>
    </row>
    <row r="29">
      <c r="A29" s="22" t="s">
        <v>33</v>
      </c>
      <c r="B29" s="21">
        <f>B28*B4</f>
        <v>280.8</v>
      </c>
      <c r="C29" s="21" t="s">
        <v>34</v>
      </c>
    </row>
    <row r="30">
      <c r="A30" s="23"/>
      <c r="B30" s="24"/>
      <c r="C30" s="24"/>
    </row>
    <row r="31" ht="22.5" customHeight="1">
      <c r="A31" s="6" t="s">
        <v>35</v>
      </c>
      <c r="B31" s="6" t="s">
        <v>33</v>
      </c>
      <c r="C31" s="25" t="s">
        <v>36</v>
      </c>
    </row>
    <row r="32" ht="22.5" customHeight="1">
      <c r="A32" s="6" t="s">
        <v>37</v>
      </c>
      <c r="B32" s="26" t="s">
        <v>38</v>
      </c>
      <c r="C32" s="27">
        <f>B32*B29</f>
        <v>14.04</v>
      </c>
    </row>
    <row r="33" ht="22.5" customHeight="1">
      <c r="A33" s="6" t="s">
        <v>39</v>
      </c>
      <c r="B33" s="26" t="s">
        <v>40</v>
      </c>
      <c r="C33" s="27">
        <f>B33*B29</f>
        <v>42.12</v>
      </c>
    </row>
    <row r="34" ht="22.5" customHeight="1">
      <c r="A34" s="6" t="s">
        <v>41</v>
      </c>
      <c r="B34" s="26" t="s">
        <v>42</v>
      </c>
      <c r="C34" s="28">
        <f>B34*B29</f>
        <v>28.08</v>
      </c>
    </row>
    <row r="35" ht="22.5" customHeight="1">
      <c r="A35" s="6" t="s">
        <v>43</v>
      </c>
      <c r="B35" s="26" t="s">
        <v>44</v>
      </c>
      <c r="C35" s="28">
        <f>(Atores[[#TOTALS],[Peso]]+B15)*B5*B6*B4*B35</f>
        <v>58.5</v>
      </c>
    </row>
    <row r="36" ht="22.5" customHeight="1">
      <c r="A36" s="6" t="s">
        <v>45</v>
      </c>
      <c r="B36" s="26" t="s">
        <v>44</v>
      </c>
      <c r="C36" s="28">
        <f>(B16)*B6*B5*B4*B36</f>
        <v>11.7</v>
      </c>
    </row>
    <row r="37" ht="22.5" customHeight="1">
      <c r="A37" s="6" t="s">
        <v>46</v>
      </c>
      <c r="B37" s="26" t="s">
        <v>44</v>
      </c>
      <c r="C37" s="28">
        <f>(B17)*B6*B5*B4*B37</f>
        <v>17.55</v>
      </c>
    </row>
    <row r="38" ht="22.5" customHeight="1">
      <c r="A38" s="29" t="s">
        <v>47</v>
      </c>
      <c r="B38" s="26" t="s">
        <v>44</v>
      </c>
      <c r="C38" s="28">
        <f>(B17)*B6*B5*B4*B38</f>
        <v>17.55</v>
      </c>
    </row>
    <row r="39" ht="22.5" customHeight="1">
      <c r="A39" s="29" t="s">
        <v>48</v>
      </c>
      <c r="B39" s="26" t="s">
        <v>44</v>
      </c>
      <c r="C39" s="28">
        <f>(B17)*B6*B5*B4*B39</f>
        <v>17.55</v>
      </c>
    </row>
    <row r="40" ht="22.5" customHeight="1">
      <c r="A40" s="29" t="s">
        <v>49</v>
      </c>
      <c r="B40" s="26" t="s">
        <v>44</v>
      </c>
      <c r="C40" s="28">
        <f>(B17)*B6*B5*B4*B40</f>
        <v>17.55</v>
      </c>
    </row>
    <row r="41" ht="22.5" customHeight="1">
      <c r="A41" s="29" t="s">
        <v>50</v>
      </c>
      <c r="B41" s="30" t="s">
        <v>42</v>
      </c>
      <c r="C41" s="28">
        <f>(Atores[[#TOTALS],[Peso]]+B15)*B5*B6*B4*B41</f>
        <v>11.7</v>
      </c>
    </row>
    <row r="42" ht="22.5" customHeight="1">
      <c r="A42" s="29" t="s">
        <v>51</v>
      </c>
      <c r="B42" s="30" t="s">
        <v>42</v>
      </c>
      <c r="C42" s="28">
        <f>(B16)*B6*B5*B4*B42</f>
        <v>2.34</v>
      </c>
    </row>
    <row r="43" ht="22.5" customHeight="1">
      <c r="A43" s="29" t="s">
        <v>52</v>
      </c>
      <c r="B43" s="30" t="s">
        <v>42</v>
      </c>
      <c r="C43" s="28">
        <f>(B17)*B6*B5*B4*B43</f>
        <v>3.51</v>
      </c>
    </row>
    <row r="44" ht="22.5" customHeight="1">
      <c r="A44" s="29" t="s">
        <v>53</v>
      </c>
      <c r="B44" s="30" t="s">
        <v>42</v>
      </c>
      <c r="C44" s="28">
        <f>(B17)*B6*B5*B4*B44</f>
        <v>3.51</v>
      </c>
    </row>
    <row r="45" ht="22.5" customHeight="1">
      <c r="A45" s="29" t="s">
        <v>54</v>
      </c>
      <c r="B45" s="30" t="s">
        <v>42</v>
      </c>
      <c r="C45" s="28">
        <f>(B17)*B6*B5*B4*B45</f>
        <v>3.51</v>
      </c>
    </row>
    <row r="46" ht="22.5" customHeight="1">
      <c r="A46" s="29" t="s">
        <v>55</v>
      </c>
      <c r="B46" s="30" t="s">
        <v>42</v>
      </c>
      <c r="C46" s="28">
        <f>(B17)*B6*B5*B4*B46</f>
        <v>3.51</v>
      </c>
    </row>
    <row r="47" ht="22.5" customHeight="1">
      <c r="A47" s="29" t="s">
        <v>56</v>
      </c>
      <c r="B47" s="30" t="s">
        <v>42</v>
      </c>
      <c r="C47" s="28">
        <f>B47*B29</f>
        <v>28.08</v>
      </c>
    </row>
    <row r="48" ht="22.5" customHeight="1">
      <c r="A48" s="29"/>
      <c r="B48" s="29" t="s">
        <v>17</v>
      </c>
      <c r="C48" s="28">
        <f>SUM(C32:C47)</f>
        <v>280.8</v>
      </c>
    </row>
  </sheetData>
  <mergeCells count="2">
    <mergeCell ref="A1:G1"/>
    <mergeCell ref="E8:F8"/>
  </mergeCells>
  <dataValidations>
    <dataValidation allowBlank="1" showDropDown="1" sqref="B32:B48"/>
  </dataValidations>
  <drawing r:id="rId1"/>
  <tableParts count="5">
    <tablePart r:id="rId7"/>
    <tablePart r:id="rId8"/>
    <tablePart r:id="rId9"/>
    <tablePart r:id="rId10"/>
    <tablePart r:id="rId11"/>
  </tableParts>
</worksheet>
</file>